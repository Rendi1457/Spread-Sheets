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AMAR" sheetId="1" r:id="rId5"/>
    <sheet state="visible" name="METERAN" sheetId="2" r:id="rId6"/>
    <sheet state="visible" name="TAGIHAN" sheetId="3" r:id="rId7"/>
  </sheets>
  <definedNames/>
  <calcPr/>
</workbook>
</file>

<file path=xl/sharedStrings.xml><?xml version="1.0" encoding="utf-8"?>
<sst xmlns="http://schemas.openxmlformats.org/spreadsheetml/2006/main" count="167" uniqueCount="68">
  <si>
    <t>Sheet KAMAR</t>
  </si>
  <si>
    <t>No Kamar</t>
  </si>
  <si>
    <t>Sheet METERAN</t>
  </si>
  <si>
    <t>Nama Penghuni</t>
  </si>
  <si>
    <t>Tipe</t>
  </si>
  <si>
    <t>Tarif Tetap</t>
  </si>
  <si>
    <t>A01</t>
  </si>
  <si>
    <t>Budi</t>
  </si>
  <si>
    <t>Standard</t>
  </si>
  <si>
    <t>A02</t>
  </si>
  <si>
    <t>Soni</t>
  </si>
  <si>
    <t>TAGIHAN</t>
  </si>
  <si>
    <t>Meter Awal</t>
  </si>
  <si>
    <t>Meter Akhir</t>
  </si>
  <si>
    <t>Kamar</t>
  </si>
  <si>
    <t>Penghuni</t>
  </si>
  <si>
    <t>Pemakaian</t>
  </si>
  <si>
    <t>A03</t>
  </si>
  <si>
    <t>Biaya Listrik</t>
  </si>
  <si>
    <t>Ijum</t>
  </si>
  <si>
    <t>Total Tagihan</t>
  </si>
  <si>
    <t>Status</t>
  </si>
  <si>
    <t>Deluxe</t>
  </si>
  <si>
    <t>A04</t>
  </si>
  <si>
    <t>Eko</t>
  </si>
  <si>
    <t>Premium</t>
  </si>
  <si>
    <t>A05</t>
  </si>
  <si>
    <t>Jaya</t>
  </si>
  <si>
    <t>A06</t>
  </si>
  <si>
    <t>Rendi</t>
  </si>
  <si>
    <t>A07</t>
  </si>
  <si>
    <t>Heri</t>
  </si>
  <si>
    <t>A08</t>
  </si>
  <si>
    <t>Wawan</t>
  </si>
  <si>
    <t>A09</t>
  </si>
  <si>
    <t>Didin</t>
  </si>
  <si>
    <t>A10</t>
  </si>
  <si>
    <t>Rahmat</t>
  </si>
  <si>
    <t>A11</t>
  </si>
  <si>
    <t>Rafly</t>
  </si>
  <si>
    <t>A12</t>
  </si>
  <si>
    <t>Robi</t>
  </si>
  <si>
    <t>A13</t>
  </si>
  <si>
    <t>Fakhri</t>
  </si>
  <si>
    <t>A14</t>
  </si>
  <si>
    <t>A15</t>
  </si>
  <si>
    <t>Faujan</t>
  </si>
  <si>
    <t>A16</t>
  </si>
  <si>
    <t>Rayhan</t>
  </si>
  <si>
    <t>A17</t>
  </si>
  <si>
    <t>A18</t>
  </si>
  <si>
    <t>Firman</t>
  </si>
  <si>
    <t>A19</t>
  </si>
  <si>
    <t>A20</t>
  </si>
  <si>
    <t>Agung</t>
  </si>
  <si>
    <t>A21</t>
  </si>
  <si>
    <t>Asep</t>
  </si>
  <si>
    <t>A22</t>
  </si>
  <si>
    <t>A23</t>
  </si>
  <si>
    <t>Dodi</t>
  </si>
  <si>
    <t>A24</t>
  </si>
  <si>
    <t>Dika</t>
  </si>
  <si>
    <t>A25</t>
  </si>
  <si>
    <t>Nazril</t>
  </si>
  <si>
    <t>Fadhil</t>
  </si>
  <si>
    <t>Adul</t>
  </si>
  <si>
    <t>Imam</t>
  </si>
  <si>
    <t>Muji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</si>
</sst>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b/>
      <sz val="17.0"/>
      <color rgb="FF00FFFF"/>
      <name val="'Roboto Mono'"/>
    </font>
    <font>
      <color rgb="FF00FFFF"/>
      <name val="Arial"/>
      <scheme val="minor"/>
    </font>
    <font>
      <b/>
      <sz val="11.0"/>
      <color rgb="FF000000"/>
      <name val="Arial"/>
    </font>
    <font>
      <b/>
      <sz val="17.0"/>
      <color rgb="FF00FFFF"/>
      <name val="Roboto Mono"/>
    </font>
    <font>
      <sz val="11.0"/>
      <color rgb="FF000000"/>
      <name val="Arial"/>
    </font>
    <font>
      <color rgb="FF00FFFF"/>
      <name val="Arial"/>
    </font>
    <font>
      <color theme="1"/>
      <name val="Arial"/>
    </font>
    <font>
      <sz val="11.0"/>
      <color theme="1"/>
      <name val="Arial"/>
    </font>
    <font>
      <b/>
      <sz val="11.0"/>
      <color theme="1"/>
      <name val="Arial"/>
    </font>
    <font>
      <color theme="1"/>
      <name val="Arial"/>
      <scheme val="minor"/>
    </font>
    <font>
      <b/>
      <sz val="17.0"/>
      <color rgb="FF188038"/>
      <name val="'Roboto Mono'"/>
    </font>
  </fonts>
  <fills count="3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  <xf borderId="1" fillId="2" fontId="3" numFmtId="0" xfId="0" applyAlignment="1" applyBorder="1" applyFill="1" applyFont="1">
      <alignment horizontal="center" readingOrder="0" shrinkToFit="0" wrapText="1"/>
    </xf>
    <xf borderId="1" fillId="0" fontId="4" numFmtId="0" xfId="0" applyAlignment="1" applyBorder="1" applyFont="1">
      <alignment vertical="bottom"/>
    </xf>
    <xf borderId="1" fillId="0" fontId="5" numFmtId="0" xfId="0" applyAlignment="1" applyBorder="1" applyFont="1">
      <alignment horizontal="center" readingOrder="0" shrinkToFit="0" wrapText="1"/>
    </xf>
    <xf borderId="1" fillId="0" fontId="6" numFmtId="0" xfId="0" applyAlignment="1" applyBorder="1" applyFont="1">
      <alignment vertical="bottom"/>
    </xf>
    <xf borderId="1" fillId="0" fontId="7" numFmtId="0" xfId="0" applyAlignment="1" applyBorder="1" applyFont="1">
      <alignment vertical="bottom"/>
    </xf>
    <xf borderId="1" fillId="2" fontId="3" numFmtId="0" xfId="0" applyAlignment="1" applyBorder="1" applyFill="1" applyFont="1">
      <alignment horizontal="center" shrinkToFit="0" vertical="bottom" wrapText="1"/>
    </xf>
    <xf borderId="1" fillId="0" fontId="8" numFmtId="0" xfId="0" applyAlignment="1" applyBorder="1" applyFont="1">
      <alignment horizontal="center" readingOrder="0" shrinkToFit="0" vertical="bottom" wrapText="1"/>
    </xf>
    <xf borderId="0" fillId="0" fontId="7" numFmtId="0" xfId="0" applyAlignment="1" applyFont="1">
      <alignment vertical="bottom"/>
    </xf>
    <xf borderId="1" fillId="0" fontId="8" numFmtId="0" xfId="0" applyAlignment="1" applyBorder="1" applyFont="1">
      <alignment horizontal="center" shrinkToFit="0" vertical="bottom" wrapText="1"/>
    </xf>
    <xf borderId="1" fillId="2" fontId="9" numFmtId="0" xfId="0" applyAlignment="1" applyBorder="1" applyFill="1" applyFont="1">
      <alignment horizontal="center" shrinkToFit="0" vertical="bottom" wrapText="1"/>
    </xf>
    <xf borderId="1" fillId="0" fontId="10" numFmtId="0" xfId="0" applyAlignment="1" applyBorder="1" applyFont="1">
      <alignment horizontal="center" readingOrder="0"/>
    </xf>
    <xf borderId="1" fillId="0" fontId="7" numFmtId="0" xfId="0" applyAlignment="1" applyBorder="1" applyFont="1">
      <alignment horizontal="center" vertical="bottom"/>
    </xf>
    <xf borderId="1" fillId="0" fontId="7" numFmtId="0" xfId="0" applyAlignment="1" applyBorder="1" applyFont="1">
      <alignment horizontal="right" vertical="bottom"/>
    </xf>
    <xf borderId="1" fillId="0" fontId="8" numFmtId="0" xfId="0" applyAlignment="1" applyBorder="1" applyFont="1">
      <alignment readingOrder="0" shrinkToFit="0" vertical="bottom" wrapText="1"/>
    </xf>
    <xf borderId="0" fillId="0" fontId="11" numFmtId="0" xfId="0" applyAlignment="1" applyFont="1">
      <alignment readingOrder="0"/>
    </xf>
    <xf borderId="0" fillId="0" fontId="3" numFmtId="0" xfId="0" applyAlignment="1" applyFont="1">
      <alignment horizontal="center" readingOrder="0" shrinkToFit="0" wrapText="1"/>
    </xf>
    <xf borderId="0" fillId="0" fontId="5" numFmtId="0" xfId="0" applyAlignment="1" applyFont="1">
      <alignment horizontal="left" readingOrder="0" shrinkToFit="0" wrapText="1"/>
    </xf>
    <xf borderId="0" fillId="0" fontId="10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</row>
    <row r="2">
      <c r="A2" s="3" t="s">
        <v>1</v>
      </c>
      <c r="B2" s="3" t="s">
        <v>3</v>
      </c>
      <c r="C2" s="3" t="s">
        <v>4</v>
      </c>
      <c r="D2" s="3" t="s">
        <v>5</v>
      </c>
    </row>
    <row r="3">
      <c r="A3" s="5" t="s">
        <v>6</v>
      </c>
      <c r="B3" s="5" t="s">
        <v>7</v>
      </c>
      <c r="C3" s="5" t="s">
        <v>8</v>
      </c>
      <c r="D3" s="5">
        <v>75000.0</v>
      </c>
    </row>
    <row r="4">
      <c r="A4" s="5" t="s">
        <v>9</v>
      </c>
      <c r="B4" s="5" t="s">
        <v>10</v>
      </c>
      <c r="C4" s="5" t="s">
        <v>8</v>
      </c>
      <c r="D4" s="5">
        <f t="shared" ref="D4:D27" si="1">IFS(C4="Standard", 75000, C4="Deluxe", 100000, C4="Premium", 150000)</f>
        <v>75000</v>
      </c>
    </row>
    <row r="5">
      <c r="A5" s="5" t="s">
        <v>17</v>
      </c>
      <c r="B5" s="13" t="s">
        <v>19</v>
      </c>
      <c r="C5" s="13" t="s">
        <v>22</v>
      </c>
      <c r="D5" s="5">
        <f t="shared" si="1"/>
        <v>100000</v>
      </c>
    </row>
    <row r="6">
      <c r="A6" s="5" t="s">
        <v>23</v>
      </c>
      <c r="B6" s="13" t="s">
        <v>24</v>
      </c>
      <c r="C6" s="13" t="s">
        <v>25</v>
      </c>
      <c r="D6" s="5">
        <f t="shared" si="1"/>
        <v>150000</v>
      </c>
    </row>
    <row r="7">
      <c r="A7" s="5" t="s">
        <v>26</v>
      </c>
      <c r="B7" s="13" t="s">
        <v>27</v>
      </c>
      <c r="C7" s="13" t="s">
        <v>8</v>
      </c>
      <c r="D7" s="5">
        <f t="shared" si="1"/>
        <v>75000</v>
      </c>
    </row>
    <row r="8">
      <c r="A8" s="5" t="s">
        <v>28</v>
      </c>
      <c r="B8" s="13" t="s">
        <v>29</v>
      </c>
      <c r="C8" s="13" t="s">
        <v>25</v>
      </c>
      <c r="D8" s="5">
        <f t="shared" si="1"/>
        <v>150000</v>
      </c>
    </row>
    <row r="9">
      <c r="A9" s="5" t="s">
        <v>30</v>
      </c>
      <c r="B9" s="13" t="s">
        <v>31</v>
      </c>
      <c r="C9" s="13" t="s">
        <v>25</v>
      </c>
      <c r="D9" s="5">
        <f t="shared" si="1"/>
        <v>150000</v>
      </c>
    </row>
    <row r="10">
      <c r="A10" s="5" t="s">
        <v>32</v>
      </c>
      <c r="B10" s="13" t="s">
        <v>33</v>
      </c>
      <c r="C10" s="13" t="s">
        <v>22</v>
      </c>
      <c r="D10" s="5">
        <f t="shared" si="1"/>
        <v>100000</v>
      </c>
    </row>
    <row r="11">
      <c r="A11" s="5" t="s">
        <v>34</v>
      </c>
      <c r="B11" s="13" t="s">
        <v>35</v>
      </c>
      <c r="C11" s="13" t="s">
        <v>8</v>
      </c>
      <c r="D11" s="5">
        <f t="shared" si="1"/>
        <v>75000</v>
      </c>
    </row>
    <row r="12">
      <c r="A12" s="5" t="s">
        <v>36</v>
      </c>
      <c r="B12" s="13" t="s">
        <v>37</v>
      </c>
      <c r="C12" s="13" t="s">
        <v>25</v>
      </c>
      <c r="D12" s="5">
        <f t="shared" si="1"/>
        <v>150000</v>
      </c>
    </row>
    <row r="13">
      <c r="A13" s="5" t="s">
        <v>38</v>
      </c>
      <c r="B13" s="13" t="s">
        <v>39</v>
      </c>
      <c r="C13" s="13" t="s">
        <v>8</v>
      </c>
      <c r="D13" s="5">
        <f t="shared" si="1"/>
        <v>75000</v>
      </c>
    </row>
    <row r="14">
      <c r="A14" s="5" t="s">
        <v>40</v>
      </c>
      <c r="B14" s="13" t="s">
        <v>41</v>
      </c>
      <c r="C14" s="13" t="s">
        <v>22</v>
      </c>
      <c r="D14" s="5">
        <f t="shared" si="1"/>
        <v>100000</v>
      </c>
    </row>
    <row r="15">
      <c r="A15" s="5" t="s">
        <v>42</v>
      </c>
      <c r="B15" s="13" t="s">
        <v>43</v>
      </c>
      <c r="C15" s="13" t="s">
        <v>25</v>
      </c>
      <c r="D15" s="5">
        <f t="shared" si="1"/>
        <v>150000</v>
      </c>
    </row>
    <row r="16">
      <c r="A16" s="5" t="s">
        <v>44</v>
      </c>
      <c r="B16" s="13" t="s">
        <v>46</v>
      </c>
      <c r="C16" s="13" t="s">
        <v>22</v>
      </c>
      <c r="D16" s="5">
        <f t="shared" si="1"/>
        <v>100000</v>
      </c>
    </row>
    <row r="17">
      <c r="A17" s="5" t="s">
        <v>45</v>
      </c>
      <c r="B17" s="13" t="s">
        <v>48</v>
      </c>
      <c r="C17" s="13" t="s">
        <v>8</v>
      </c>
      <c r="D17" s="5">
        <f t="shared" si="1"/>
        <v>75000</v>
      </c>
    </row>
    <row r="18">
      <c r="A18" s="5" t="s">
        <v>47</v>
      </c>
      <c r="B18" s="13" t="s">
        <v>51</v>
      </c>
      <c r="C18" s="13" t="s">
        <v>25</v>
      </c>
      <c r="D18" s="5">
        <f t="shared" si="1"/>
        <v>150000</v>
      </c>
    </row>
    <row r="19">
      <c r="A19" s="5" t="s">
        <v>49</v>
      </c>
      <c r="B19" s="13" t="s">
        <v>54</v>
      </c>
      <c r="C19" s="13" t="s">
        <v>8</v>
      </c>
      <c r="D19" s="5">
        <f t="shared" si="1"/>
        <v>75000</v>
      </c>
    </row>
    <row r="20">
      <c r="A20" s="5" t="s">
        <v>50</v>
      </c>
      <c r="B20" s="13" t="s">
        <v>56</v>
      </c>
      <c r="C20" s="13" t="s">
        <v>22</v>
      </c>
      <c r="D20" s="5">
        <f t="shared" si="1"/>
        <v>100000</v>
      </c>
    </row>
    <row r="21">
      <c r="A21" s="5" t="s">
        <v>52</v>
      </c>
      <c r="B21" s="13" t="s">
        <v>59</v>
      </c>
      <c r="C21" s="13" t="s">
        <v>25</v>
      </c>
      <c r="D21" s="5">
        <f t="shared" si="1"/>
        <v>150000</v>
      </c>
    </row>
    <row r="22">
      <c r="A22" s="5" t="s">
        <v>53</v>
      </c>
      <c r="B22" s="13" t="s">
        <v>61</v>
      </c>
      <c r="C22" s="13" t="s">
        <v>8</v>
      </c>
      <c r="D22" s="5">
        <f t="shared" si="1"/>
        <v>75000</v>
      </c>
    </row>
    <row r="23">
      <c r="A23" s="5" t="s">
        <v>55</v>
      </c>
      <c r="B23" s="13" t="s">
        <v>63</v>
      </c>
      <c r="C23" s="13" t="s">
        <v>25</v>
      </c>
      <c r="D23" s="5">
        <f t="shared" si="1"/>
        <v>150000</v>
      </c>
    </row>
    <row r="24">
      <c r="A24" s="5" t="s">
        <v>57</v>
      </c>
      <c r="B24" s="13" t="s">
        <v>64</v>
      </c>
      <c r="C24" s="13" t="s">
        <v>22</v>
      </c>
      <c r="D24" s="5">
        <f t="shared" si="1"/>
        <v>100000</v>
      </c>
    </row>
    <row r="25">
      <c r="A25" s="5" t="s">
        <v>58</v>
      </c>
      <c r="B25" s="13" t="s">
        <v>65</v>
      </c>
      <c r="C25" s="13" t="s">
        <v>25</v>
      </c>
      <c r="D25" s="5">
        <f t="shared" si="1"/>
        <v>150000</v>
      </c>
    </row>
    <row r="26">
      <c r="A26" s="5" t="s">
        <v>60</v>
      </c>
      <c r="B26" s="13" t="s">
        <v>66</v>
      </c>
      <c r="C26" s="13" t="s">
        <v>8</v>
      </c>
      <c r="D26" s="5">
        <f t="shared" si="1"/>
        <v>75000</v>
      </c>
    </row>
    <row r="27">
      <c r="A27" s="5" t="s">
        <v>62</v>
      </c>
      <c r="B27" s="13" t="s">
        <v>67</v>
      </c>
      <c r="C27" s="13" t="s">
        <v>25</v>
      </c>
      <c r="D27" s="5">
        <f t="shared" si="1"/>
        <v>150000</v>
      </c>
    </row>
    <row r="31">
      <c r="A31" s="17"/>
    </row>
    <row r="32">
      <c r="A32" s="18"/>
      <c r="B32" s="18"/>
      <c r="C32" s="18"/>
    </row>
    <row r="33">
      <c r="A33" s="19"/>
      <c r="B33" s="19"/>
      <c r="C33" s="19"/>
    </row>
    <row r="34">
      <c r="A34" s="19"/>
      <c r="B34" s="19"/>
      <c r="C34" s="19"/>
    </row>
    <row r="35">
      <c r="B35" s="20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2</v>
      </c>
      <c r="B1" s="6"/>
      <c r="C1" s="7"/>
    </row>
    <row r="2">
      <c r="A2" s="8" t="s">
        <v>1</v>
      </c>
      <c r="B2" s="8" t="s">
        <v>12</v>
      </c>
      <c r="C2" s="8" t="s">
        <v>13</v>
      </c>
    </row>
    <row r="3">
      <c r="A3" s="9" t="s">
        <v>6</v>
      </c>
      <c r="B3" s="11">
        <v>1200.0</v>
      </c>
      <c r="C3" s="11">
        <v>1345.0</v>
      </c>
    </row>
    <row r="4">
      <c r="A4" s="9" t="s">
        <v>9</v>
      </c>
      <c r="B4" s="14">
        <f t="shared" ref="B4:B27" si="1">RANDBETWEEN(1000, 2000)</f>
        <v>1250</v>
      </c>
      <c r="C4" s="11">
        <f t="shared" ref="C4:C27" si="2">B4 + RANDBETWEEN(50, 250)</f>
        <v>1316</v>
      </c>
    </row>
    <row r="5">
      <c r="A5" s="9" t="s">
        <v>17</v>
      </c>
      <c r="B5" s="14">
        <f t="shared" si="1"/>
        <v>1344</v>
      </c>
      <c r="C5" s="11">
        <f t="shared" si="2"/>
        <v>1570</v>
      </c>
    </row>
    <row r="6">
      <c r="A6" s="9" t="s">
        <v>23</v>
      </c>
      <c r="B6" s="14">
        <f t="shared" si="1"/>
        <v>1421</v>
      </c>
      <c r="C6" s="11">
        <f t="shared" si="2"/>
        <v>1657</v>
      </c>
    </row>
    <row r="7">
      <c r="A7" s="9" t="s">
        <v>26</v>
      </c>
      <c r="B7" s="14">
        <f t="shared" si="1"/>
        <v>1583</v>
      </c>
      <c r="C7" s="11">
        <f t="shared" si="2"/>
        <v>1721</v>
      </c>
    </row>
    <row r="8">
      <c r="A8" s="9" t="s">
        <v>28</v>
      </c>
      <c r="B8" s="14">
        <f t="shared" si="1"/>
        <v>1681</v>
      </c>
      <c r="C8" s="11">
        <f t="shared" si="2"/>
        <v>1806</v>
      </c>
    </row>
    <row r="9">
      <c r="A9" s="9" t="s">
        <v>30</v>
      </c>
      <c r="B9" s="14">
        <f t="shared" si="1"/>
        <v>1316</v>
      </c>
      <c r="C9" s="11">
        <f t="shared" si="2"/>
        <v>1405</v>
      </c>
    </row>
    <row r="10">
      <c r="A10" s="9" t="s">
        <v>32</v>
      </c>
      <c r="B10" s="14">
        <f t="shared" si="1"/>
        <v>1225</v>
      </c>
      <c r="C10" s="11">
        <f t="shared" si="2"/>
        <v>1327</v>
      </c>
    </row>
    <row r="11">
      <c r="A11" s="9" t="s">
        <v>34</v>
      </c>
      <c r="B11" s="14">
        <f t="shared" si="1"/>
        <v>1252</v>
      </c>
      <c r="C11" s="11">
        <f t="shared" si="2"/>
        <v>1420</v>
      </c>
    </row>
    <row r="12">
      <c r="A12" s="9" t="s">
        <v>36</v>
      </c>
      <c r="B12" s="14">
        <f t="shared" si="1"/>
        <v>1637</v>
      </c>
      <c r="C12" s="11">
        <f t="shared" si="2"/>
        <v>1734</v>
      </c>
    </row>
    <row r="13">
      <c r="A13" s="9" t="s">
        <v>38</v>
      </c>
      <c r="B13" s="14">
        <f t="shared" si="1"/>
        <v>1587</v>
      </c>
      <c r="C13" s="11">
        <f t="shared" si="2"/>
        <v>1714</v>
      </c>
    </row>
    <row r="14">
      <c r="A14" s="9" t="s">
        <v>40</v>
      </c>
      <c r="B14" s="14">
        <f t="shared" si="1"/>
        <v>1757</v>
      </c>
      <c r="C14" s="11">
        <f t="shared" si="2"/>
        <v>1908</v>
      </c>
    </row>
    <row r="15">
      <c r="A15" s="9" t="s">
        <v>42</v>
      </c>
      <c r="B15" s="14">
        <f t="shared" si="1"/>
        <v>1144</v>
      </c>
      <c r="C15" s="11">
        <f t="shared" si="2"/>
        <v>1206</v>
      </c>
    </row>
    <row r="16">
      <c r="A16" s="9" t="s">
        <v>44</v>
      </c>
      <c r="B16" s="14">
        <f t="shared" si="1"/>
        <v>1820</v>
      </c>
      <c r="C16" s="11">
        <f t="shared" si="2"/>
        <v>1912</v>
      </c>
    </row>
    <row r="17">
      <c r="A17" s="9" t="s">
        <v>45</v>
      </c>
      <c r="B17" s="14">
        <f t="shared" si="1"/>
        <v>1632</v>
      </c>
      <c r="C17" s="11">
        <f t="shared" si="2"/>
        <v>1741</v>
      </c>
    </row>
    <row r="18">
      <c r="A18" s="9" t="s">
        <v>47</v>
      </c>
      <c r="B18" s="14">
        <f t="shared" si="1"/>
        <v>1087</v>
      </c>
      <c r="C18" s="11">
        <f t="shared" si="2"/>
        <v>1173</v>
      </c>
    </row>
    <row r="19">
      <c r="A19" s="9" t="s">
        <v>49</v>
      </c>
      <c r="B19" s="14">
        <f t="shared" si="1"/>
        <v>1606</v>
      </c>
      <c r="C19" s="11">
        <f t="shared" si="2"/>
        <v>1778</v>
      </c>
    </row>
    <row r="20">
      <c r="A20" s="9" t="s">
        <v>50</v>
      </c>
      <c r="B20" s="14">
        <f t="shared" si="1"/>
        <v>1976</v>
      </c>
      <c r="C20" s="11">
        <f t="shared" si="2"/>
        <v>2190</v>
      </c>
    </row>
    <row r="21">
      <c r="A21" s="9" t="s">
        <v>52</v>
      </c>
      <c r="B21" s="14">
        <f t="shared" si="1"/>
        <v>1261</v>
      </c>
      <c r="C21" s="11">
        <f t="shared" si="2"/>
        <v>1405</v>
      </c>
    </row>
    <row r="22">
      <c r="A22" s="9" t="s">
        <v>53</v>
      </c>
      <c r="B22" s="14">
        <f t="shared" si="1"/>
        <v>1838</v>
      </c>
      <c r="C22" s="11">
        <f t="shared" si="2"/>
        <v>1995</v>
      </c>
    </row>
    <row r="23">
      <c r="A23" s="9" t="s">
        <v>55</v>
      </c>
      <c r="B23" s="14">
        <f t="shared" si="1"/>
        <v>1146</v>
      </c>
      <c r="C23" s="11">
        <f t="shared" si="2"/>
        <v>1270</v>
      </c>
    </row>
    <row r="24">
      <c r="A24" s="9" t="s">
        <v>57</v>
      </c>
      <c r="B24" s="14">
        <f t="shared" si="1"/>
        <v>1428</v>
      </c>
      <c r="C24" s="11">
        <f t="shared" si="2"/>
        <v>1624</v>
      </c>
    </row>
    <row r="25">
      <c r="A25" s="9" t="s">
        <v>58</v>
      </c>
      <c r="B25" s="14">
        <f t="shared" si="1"/>
        <v>1369</v>
      </c>
      <c r="C25" s="11">
        <f t="shared" si="2"/>
        <v>1529</v>
      </c>
    </row>
    <row r="26">
      <c r="A26" s="9" t="s">
        <v>60</v>
      </c>
      <c r="B26" s="14">
        <f t="shared" si="1"/>
        <v>1612</v>
      </c>
      <c r="C26" s="11">
        <f t="shared" si="2"/>
        <v>1690</v>
      </c>
    </row>
    <row r="27">
      <c r="A27" s="9" t="s">
        <v>62</v>
      </c>
      <c r="B27" s="14">
        <f t="shared" si="1"/>
        <v>1683</v>
      </c>
      <c r="C27" s="11">
        <f t="shared" si="2"/>
        <v>1868</v>
      </c>
    </row>
    <row r="28">
      <c r="A28" s="16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11</v>
      </c>
      <c r="B1" s="7"/>
      <c r="C1" s="10"/>
      <c r="D1" s="10"/>
      <c r="E1" s="10"/>
      <c r="F1" s="10"/>
      <c r="G1" s="10"/>
    </row>
    <row r="2">
      <c r="A2" s="12" t="s">
        <v>14</v>
      </c>
      <c r="B2" s="12" t="s">
        <v>15</v>
      </c>
      <c r="C2" s="12" t="s">
        <v>16</v>
      </c>
      <c r="D2" s="12" t="s">
        <v>18</v>
      </c>
      <c r="E2" s="12" t="s">
        <v>5</v>
      </c>
      <c r="F2" s="12" t="s">
        <v>20</v>
      </c>
      <c r="G2" s="12" t="s">
        <v>21</v>
      </c>
    </row>
    <row r="3">
      <c r="A3" s="7" t="s">
        <v>6</v>
      </c>
      <c r="B3" s="11" t="s">
        <v>7</v>
      </c>
      <c r="C3" s="15">
        <f>IFERROR(METERAN!C4-METERAN!B4, "DATA ERROR")</f>
        <v>66</v>
      </c>
      <c r="D3" s="15">
        <f t="shared" ref="D3:D27" si="1">IF(C3="DATA ERROR", 0, C3 * 1700)</f>
        <v>112200</v>
      </c>
      <c r="E3" s="14">
        <f>IF(C3="DATA ERROR", 0, C3 * 1700)</f>
        <v>112200</v>
      </c>
      <c r="F3" s="15">
        <f t="shared" ref="F3:F27" si="2">IF(C4="DATA ERROR", 0, D4 + E4)</f>
        <v>459200</v>
      </c>
      <c r="G3" s="7" t="str">
        <f t="shared" ref="G3:G27" si="3">IF(C3="DATA ERROR", "DATA ERROR", IF(C3&lt;100, "HEMAT", IF(C3&lt;=200, "NORMAL", "TINGGI")))</f>
        <v>HEMAT</v>
      </c>
    </row>
    <row r="4">
      <c r="A4" s="7" t="s">
        <v>9</v>
      </c>
      <c r="B4" s="11" t="s">
        <v>10</v>
      </c>
      <c r="C4" s="15">
        <f>IFERROR(METERAN!C5-METERAN!B5, "DATA ERROR")</f>
        <v>226</v>
      </c>
      <c r="D4" s="15">
        <f t="shared" si="1"/>
        <v>384200</v>
      </c>
      <c r="E4" s="14">
        <f>VLOOKUP(A4, KAMAR!A$4:D$28, 4, FALSE)</f>
        <v>75000</v>
      </c>
      <c r="F4" s="15">
        <f t="shared" si="2"/>
        <v>501200</v>
      </c>
      <c r="G4" s="7" t="str">
        <f t="shared" si="3"/>
        <v>TINGGI</v>
      </c>
    </row>
    <row r="5">
      <c r="A5" s="7" t="s">
        <v>17</v>
      </c>
      <c r="B5" s="14" t="s">
        <v>19</v>
      </c>
      <c r="C5" s="15">
        <f>IFERROR(METERAN!C6-METERAN!B6, "DATA ERROR")</f>
        <v>236</v>
      </c>
      <c r="D5" s="15">
        <f t="shared" si="1"/>
        <v>401200</v>
      </c>
      <c r="E5" s="14">
        <f>VLOOKUP(A5, KAMAR!A$4:D$28, 4, FALSE)</f>
        <v>100000</v>
      </c>
      <c r="F5" s="15">
        <f t="shared" si="2"/>
        <v>384600</v>
      </c>
      <c r="G5" s="7" t="str">
        <f t="shared" si="3"/>
        <v>TINGGI</v>
      </c>
    </row>
    <row r="6">
      <c r="A6" s="7" t="s">
        <v>23</v>
      </c>
      <c r="B6" s="14" t="s">
        <v>24</v>
      </c>
      <c r="C6" s="15">
        <f>IFERROR(METERAN!C7-METERAN!B7, "DATA ERROR")</f>
        <v>138</v>
      </c>
      <c r="D6" s="15">
        <f t="shared" si="1"/>
        <v>234600</v>
      </c>
      <c r="E6" s="14">
        <f>VLOOKUP(A6, KAMAR!A$4:D$28, 4, FALSE)</f>
        <v>150000</v>
      </c>
      <c r="F6" s="15">
        <f t="shared" si="2"/>
        <v>287500</v>
      </c>
      <c r="G6" s="7" t="str">
        <f t="shared" si="3"/>
        <v>NORMAL</v>
      </c>
    </row>
    <row r="7">
      <c r="A7" s="7" t="s">
        <v>26</v>
      </c>
      <c r="B7" s="14" t="s">
        <v>27</v>
      </c>
      <c r="C7" s="15">
        <f>IFERROR(METERAN!C8-METERAN!B8, "DATA ERROR")</f>
        <v>125</v>
      </c>
      <c r="D7" s="15">
        <f t="shared" si="1"/>
        <v>212500</v>
      </c>
      <c r="E7" s="14">
        <f>VLOOKUP(A7, KAMAR!A$4:D$28, 4, FALSE)</f>
        <v>75000</v>
      </c>
      <c r="F7" s="15">
        <f t="shared" si="2"/>
        <v>301300</v>
      </c>
      <c r="G7" s="7" t="str">
        <f t="shared" si="3"/>
        <v>NORMAL</v>
      </c>
    </row>
    <row r="8">
      <c r="A8" s="7" t="s">
        <v>28</v>
      </c>
      <c r="B8" s="14" t="s">
        <v>29</v>
      </c>
      <c r="C8" s="15">
        <f>IFERROR(METERAN!C9-METERAN!B9, "DATA ERROR")</f>
        <v>89</v>
      </c>
      <c r="D8" s="15">
        <f t="shared" si="1"/>
        <v>151300</v>
      </c>
      <c r="E8" s="14">
        <f>VLOOKUP(A8, KAMAR!A$4:D$28, 4, FALSE)</f>
        <v>150000</v>
      </c>
      <c r="F8" s="15">
        <f t="shared" si="2"/>
        <v>323400</v>
      </c>
      <c r="G8" s="7" t="str">
        <f t="shared" si="3"/>
        <v>HEMAT</v>
      </c>
    </row>
    <row r="9">
      <c r="A9" s="7" t="s">
        <v>30</v>
      </c>
      <c r="B9" s="14" t="s">
        <v>31</v>
      </c>
      <c r="C9" s="15">
        <f>IFERROR(METERAN!C10-METERAN!B10, "DATA ERROR")</f>
        <v>102</v>
      </c>
      <c r="D9" s="15">
        <f t="shared" si="1"/>
        <v>173400</v>
      </c>
      <c r="E9" s="14">
        <f>VLOOKUP(A9, KAMAR!A$4:D$28, 4, FALSE)</f>
        <v>150000</v>
      </c>
      <c r="F9" s="15">
        <f t="shared" si="2"/>
        <v>385600</v>
      </c>
      <c r="G9" s="7" t="str">
        <f t="shared" si="3"/>
        <v>NORMAL</v>
      </c>
    </row>
    <row r="10">
      <c r="A10" s="7" t="s">
        <v>32</v>
      </c>
      <c r="B10" s="14" t="s">
        <v>33</v>
      </c>
      <c r="C10" s="15">
        <f>IFERROR(METERAN!C11-METERAN!B11, "DATA ERROR")</f>
        <v>168</v>
      </c>
      <c r="D10" s="15">
        <f t="shared" si="1"/>
        <v>285600</v>
      </c>
      <c r="E10" s="14">
        <f>VLOOKUP(A10, KAMAR!A$4:D$28, 4, FALSE)</f>
        <v>100000</v>
      </c>
      <c r="F10" s="15">
        <f t="shared" si="2"/>
        <v>239900</v>
      </c>
      <c r="G10" s="7" t="str">
        <f t="shared" si="3"/>
        <v>NORMAL</v>
      </c>
    </row>
    <row r="11">
      <c r="A11" s="7" t="s">
        <v>34</v>
      </c>
      <c r="B11" s="14" t="s">
        <v>35</v>
      </c>
      <c r="C11" s="15">
        <f>IFERROR(METERAN!C12-METERAN!B12, "DATA ERROR")</f>
        <v>97</v>
      </c>
      <c r="D11" s="15">
        <f t="shared" si="1"/>
        <v>164900</v>
      </c>
      <c r="E11" s="14">
        <f>VLOOKUP(A11, KAMAR!A$4:D$28, 4, FALSE)</f>
        <v>75000</v>
      </c>
      <c r="F11" s="15">
        <f t="shared" si="2"/>
        <v>365900</v>
      </c>
      <c r="G11" s="7" t="str">
        <f t="shared" si="3"/>
        <v>HEMAT</v>
      </c>
    </row>
    <row r="12">
      <c r="A12" s="7" t="s">
        <v>36</v>
      </c>
      <c r="B12" s="14" t="s">
        <v>37</v>
      </c>
      <c r="C12" s="15">
        <f>IFERROR(METERAN!C13-METERAN!B13, "DATA ERROR")</f>
        <v>127</v>
      </c>
      <c r="D12" s="15">
        <f t="shared" si="1"/>
        <v>215900</v>
      </c>
      <c r="E12" s="14">
        <f>VLOOKUP(A12, KAMAR!A$4:D$28, 4, FALSE)</f>
        <v>150000</v>
      </c>
      <c r="F12" s="15">
        <f t="shared" si="2"/>
        <v>331700</v>
      </c>
      <c r="G12" s="7" t="str">
        <f t="shared" si="3"/>
        <v>NORMAL</v>
      </c>
    </row>
    <row r="13">
      <c r="A13" s="7" t="s">
        <v>38</v>
      </c>
      <c r="B13" s="14" t="s">
        <v>39</v>
      </c>
      <c r="C13" s="15">
        <f>IFERROR(METERAN!C14-METERAN!B14, "DATA ERROR")</f>
        <v>151</v>
      </c>
      <c r="D13" s="15">
        <f t="shared" si="1"/>
        <v>256700</v>
      </c>
      <c r="E13" s="14">
        <f>VLOOKUP(A13, KAMAR!A$4:D$28, 4, FALSE)</f>
        <v>75000</v>
      </c>
      <c r="F13" s="15">
        <f t="shared" si="2"/>
        <v>205400</v>
      </c>
      <c r="G13" s="7" t="str">
        <f t="shared" si="3"/>
        <v>NORMAL</v>
      </c>
    </row>
    <row r="14">
      <c r="A14" s="7" t="s">
        <v>40</v>
      </c>
      <c r="B14" s="14" t="s">
        <v>41</v>
      </c>
      <c r="C14" s="15">
        <f>IFERROR(METERAN!C15-METERAN!B15, "DATA ERROR")</f>
        <v>62</v>
      </c>
      <c r="D14" s="15">
        <f t="shared" si="1"/>
        <v>105400</v>
      </c>
      <c r="E14" s="14">
        <f>VLOOKUP(A14, KAMAR!A$4:D$28, 4, FALSE)</f>
        <v>100000</v>
      </c>
      <c r="F14" s="15">
        <f t="shared" si="2"/>
        <v>306400</v>
      </c>
      <c r="G14" s="7" t="str">
        <f t="shared" si="3"/>
        <v>HEMAT</v>
      </c>
    </row>
    <row r="15">
      <c r="A15" s="7" t="s">
        <v>42</v>
      </c>
      <c r="B15" s="14" t="s">
        <v>43</v>
      </c>
      <c r="C15" s="15">
        <f>IFERROR(METERAN!C16-METERAN!B16, "DATA ERROR")</f>
        <v>92</v>
      </c>
      <c r="D15" s="15">
        <f t="shared" si="1"/>
        <v>156400</v>
      </c>
      <c r="E15" s="14">
        <f>VLOOKUP(A15, KAMAR!A$4:D$28, 4, FALSE)</f>
        <v>150000</v>
      </c>
      <c r="F15" s="15">
        <f t="shared" si="2"/>
        <v>285300</v>
      </c>
      <c r="G15" s="7" t="str">
        <f t="shared" si="3"/>
        <v>HEMAT</v>
      </c>
    </row>
    <row r="16">
      <c r="A16" s="7" t="s">
        <v>44</v>
      </c>
      <c r="B16" s="14" t="s">
        <v>46</v>
      </c>
      <c r="C16" s="15">
        <f>IFERROR(METERAN!C17-METERAN!B17, "DATA ERROR")</f>
        <v>109</v>
      </c>
      <c r="D16" s="15">
        <f t="shared" si="1"/>
        <v>185300</v>
      </c>
      <c r="E16" s="14">
        <f>VLOOKUP(A16, KAMAR!A$4:D$28, 4, FALSE)</f>
        <v>100000</v>
      </c>
      <c r="F16" s="15">
        <f t="shared" si="2"/>
        <v>221200</v>
      </c>
      <c r="G16" s="7" t="str">
        <f t="shared" si="3"/>
        <v>NORMAL</v>
      </c>
    </row>
    <row r="17">
      <c r="A17" s="7" t="s">
        <v>45</v>
      </c>
      <c r="B17" s="14" t="s">
        <v>48</v>
      </c>
      <c r="C17" s="15">
        <f>IFERROR(METERAN!C18-METERAN!B18, "DATA ERROR")</f>
        <v>86</v>
      </c>
      <c r="D17" s="15">
        <f t="shared" si="1"/>
        <v>146200</v>
      </c>
      <c r="E17" s="14">
        <f>VLOOKUP(A17, KAMAR!A$4:D$28, 4, FALSE)</f>
        <v>75000</v>
      </c>
      <c r="F17" s="15">
        <f t="shared" si="2"/>
        <v>442400</v>
      </c>
      <c r="G17" s="7" t="str">
        <f t="shared" si="3"/>
        <v>HEMAT</v>
      </c>
    </row>
    <row r="18">
      <c r="A18" s="7" t="s">
        <v>47</v>
      </c>
      <c r="B18" s="14" t="s">
        <v>51</v>
      </c>
      <c r="C18" s="15">
        <f>IFERROR(METERAN!C19-METERAN!B19, "DATA ERROR")</f>
        <v>172</v>
      </c>
      <c r="D18" s="15">
        <f t="shared" si="1"/>
        <v>292400</v>
      </c>
      <c r="E18" s="14">
        <f>VLOOKUP(A18, KAMAR!A$4:D$28, 4, FALSE)</f>
        <v>150000</v>
      </c>
      <c r="F18" s="15">
        <f t="shared" si="2"/>
        <v>438800</v>
      </c>
      <c r="G18" s="7" t="str">
        <f t="shared" si="3"/>
        <v>NORMAL</v>
      </c>
    </row>
    <row r="19">
      <c r="A19" s="7" t="s">
        <v>49</v>
      </c>
      <c r="B19" s="14" t="s">
        <v>54</v>
      </c>
      <c r="C19" s="15">
        <f>IFERROR(METERAN!C20-METERAN!B20, "DATA ERROR")</f>
        <v>214</v>
      </c>
      <c r="D19" s="15">
        <f t="shared" si="1"/>
        <v>363800</v>
      </c>
      <c r="E19" s="14">
        <f>VLOOKUP(A19, KAMAR!A$4:D$28, 4, FALSE)</f>
        <v>75000</v>
      </c>
      <c r="F19" s="15">
        <f t="shared" si="2"/>
        <v>344800</v>
      </c>
      <c r="G19" s="7" t="str">
        <f t="shared" si="3"/>
        <v>TINGGI</v>
      </c>
    </row>
    <row r="20">
      <c r="A20" s="7" t="s">
        <v>50</v>
      </c>
      <c r="B20" s="14" t="s">
        <v>56</v>
      </c>
      <c r="C20" s="15">
        <f>IFERROR(METERAN!C21-METERAN!B21, "DATA ERROR")</f>
        <v>144</v>
      </c>
      <c r="D20" s="15">
        <f t="shared" si="1"/>
        <v>244800</v>
      </c>
      <c r="E20" s="14">
        <f>VLOOKUP(A20, KAMAR!A$4:D$28, 4, FALSE)</f>
        <v>100000</v>
      </c>
      <c r="F20" s="15">
        <f t="shared" si="2"/>
        <v>416900</v>
      </c>
      <c r="G20" s="7" t="str">
        <f t="shared" si="3"/>
        <v>NORMAL</v>
      </c>
    </row>
    <row r="21">
      <c r="A21" s="7" t="s">
        <v>52</v>
      </c>
      <c r="B21" s="14" t="s">
        <v>59</v>
      </c>
      <c r="C21" s="15">
        <f>IFERROR(METERAN!C22-METERAN!B22, "DATA ERROR")</f>
        <v>157</v>
      </c>
      <c r="D21" s="15">
        <f t="shared" si="1"/>
        <v>266900</v>
      </c>
      <c r="E21" s="14">
        <f>VLOOKUP(A21, KAMAR!A$4:D$28, 4, FALSE)</f>
        <v>150000</v>
      </c>
      <c r="F21" s="15">
        <f t="shared" si="2"/>
        <v>285800</v>
      </c>
      <c r="G21" s="7" t="str">
        <f t="shared" si="3"/>
        <v>NORMAL</v>
      </c>
    </row>
    <row r="22">
      <c r="A22" s="7" t="s">
        <v>53</v>
      </c>
      <c r="B22" s="14" t="s">
        <v>61</v>
      </c>
      <c r="C22" s="15">
        <f>IFERROR(METERAN!C23-METERAN!B23, "DATA ERROR")</f>
        <v>124</v>
      </c>
      <c r="D22" s="15">
        <f t="shared" si="1"/>
        <v>210800</v>
      </c>
      <c r="E22" s="14">
        <f>VLOOKUP(A22, KAMAR!A$4:D$28, 4, FALSE)</f>
        <v>75000</v>
      </c>
      <c r="F22" s="15">
        <f t="shared" si="2"/>
        <v>483200</v>
      </c>
      <c r="G22" s="7" t="str">
        <f t="shared" si="3"/>
        <v>NORMAL</v>
      </c>
    </row>
    <row r="23">
      <c r="A23" s="7" t="s">
        <v>55</v>
      </c>
      <c r="B23" s="14" t="s">
        <v>63</v>
      </c>
      <c r="C23" s="15">
        <f>IFERROR(METERAN!C24-METERAN!B24, "DATA ERROR")</f>
        <v>196</v>
      </c>
      <c r="D23" s="15">
        <f t="shared" si="1"/>
        <v>333200</v>
      </c>
      <c r="E23" s="14">
        <f>VLOOKUP(A23, KAMAR!A$4:D$28, 4, FALSE)</f>
        <v>150000</v>
      </c>
      <c r="F23" s="15">
        <f t="shared" si="2"/>
        <v>372000</v>
      </c>
      <c r="G23" s="7" t="str">
        <f t="shared" si="3"/>
        <v>NORMAL</v>
      </c>
    </row>
    <row r="24">
      <c r="A24" s="7" t="s">
        <v>57</v>
      </c>
      <c r="B24" s="14" t="s">
        <v>64</v>
      </c>
      <c r="C24" s="15">
        <f>IFERROR(METERAN!C25-METERAN!B25, "DATA ERROR")</f>
        <v>160</v>
      </c>
      <c r="D24" s="15">
        <f t="shared" si="1"/>
        <v>272000</v>
      </c>
      <c r="E24" s="14">
        <f>VLOOKUP(A24, KAMAR!A$4:D$28, 4, FALSE)</f>
        <v>100000</v>
      </c>
      <c r="F24" s="15">
        <f t="shared" si="2"/>
        <v>282600</v>
      </c>
      <c r="G24" s="7" t="str">
        <f t="shared" si="3"/>
        <v>NORMAL</v>
      </c>
    </row>
    <row r="25">
      <c r="A25" s="7" t="s">
        <v>58</v>
      </c>
      <c r="B25" s="14" t="s">
        <v>65</v>
      </c>
      <c r="C25" s="15">
        <f>IFERROR(METERAN!C26-METERAN!B26, "DATA ERROR")</f>
        <v>78</v>
      </c>
      <c r="D25" s="15">
        <f t="shared" si="1"/>
        <v>132600</v>
      </c>
      <c r="E25" s="14">
        <f>VLOOKUP(A25, KAMAR!A$4:D$28, 4, FALSE)</f>
        <v>150000</v>
      </c>
      <c r="F25" s="15">
        <f t="shared" si="2"/>
        <v>389500</v>
      </c>
      <c r="G25" s="7" t="str">
        <f t="shared" si="3"/>
        <v>HEMAT</v>
      </c>
    </row>
    <row r="26">
      <c r="A26" s="7" t="s">
        <v>60</v>
      </c>
      <c r="B26" s="14" t="s">
        <v>66</v>
      </c>
      <c r="C26" s="15">
        <f>IFERROR(METERAN!C27-METERAN!B27, "DATA ERROR")</f>
        <v>185</v>
      </c>
      <c r="D26" s="15">
        <f t="shared" si="1"/>
        <v>314500</v>
      </c>
      <c r="E26" s="14">
        <f>VLOOKUP(A26, KAMAR!A$4:D$28, 4, FALSE)</f>
        <v>75000</v>
      </c>
      <c r="F26" s="15">
        <f t="shared" si="2"/>
        <v>150000</v>
      </c>
      <c r="G26" s="7" t="str">
        <f t="shared" si="3"/>
        <v>NORMAL</v>
      </c>
    </row>
    <row r="27">
      <c r="A27" s="7" t="s">
        <v>62</v>
      </c>
      <c r="B27" s="14" t="s">
        <v>67</v>
      </c>
      <c r="C27" s="15">
        <f>IFERROR(METERAN!C28-METERAN!B28, "DATA ERROR")</f>
        <v>0</v>
      </c>
      <c r="D27" s="15">
        <f t="shared" si="1"/>
        <v>0</v>
      </c>
      <c r="E27" s="14">
        <f>VLOOKUP(A27, KAMAR!A$4:D$28, 4, FALSE)</f>
        <v>150000</v>
      </c>
      <c r="F27" s="15">
        <f t="shared" si="2"/>
        <v>0</v>
      </c>
      <c r="G27" s="7" t="str">
        <f t="shared" si="3"/>
        <v>HEMAT</v>
      </c>
    </row>
  </sheetData>
  <drawing r:id="rId1"/>
</worksheet>
</file>